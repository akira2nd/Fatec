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aPasta_de_trabalho" defaultThemeVersion="124226"/>
  <bookViews>
    <workbookView xWindow="240" yWindow="135" windowWidth="21075" windowHeight="9780"/>
  </bookViews>
  <sheets>
    <sheet name="Plan1" sheetId="1" r:id="rId1"/>
    <sheet name="Plan2" sheetId="2" r:id="rId2"/>
    <sheet name="Plan3" sheetId="3" r:id="rId3"/>
  </sheets>
  <calcPr calcId="125725"/>
</workbook>
</file>

<file path=xl/calcChain.xml><?xml version="1.0" encoding="utf-8"?>
<calcChain xmlns="http://schemas.openxmlformats.org/spreadsheetml/2006/main">
  <c r="F2" i="1"/>
  <c r="C24"/>
  <c r="D24" s="1"/>
  <c r="C23"/>
  <c r="D23" s="1"/>
  <c r="B47" s="1"/>
  <c r="C22"/>
  <c r="D22" s="1"/>
  <c r="B46" s="1"/>
  <c r="C21"/>
  <c r="C20"/>
  <c r="D20" s="1"/>
  <c r="B44" s="1"/>
  <c r="C19"/>
  <c r="D19" s="1"/>
  <c r="C18"/>
  <c r="D18" s="1"/>
  <c r="B42" s="1"/>
  <c r="C17"/>
  <c r="C16"/>
  <c r="D16" s="1"/>
  <c r="C15"/>
  <c r="D15" s="1"/>
  <c r="B39" s="1"/>
  <c r="C14"/>
  <c r="D14" s="1"/>
  <c r="B38" s="1"/>
  <c r="C13"/>
  <c r="C12"/>
  <c r="D12" s="1"/>
  <c r="B36" s="1"/>
  <c r="C11"/>
  <c r="D11" s="1"/>
  <c r="B35" s="1"/>
  <c r="C10"/>
  <c r="D10" s="1"/>
  <c r="A34" s="1"/>
  <c r="C9"/>
  <c r="D9" s="1"/>
  <c r="A33" s="1"/>
  <c r="C8"/>
  <c r="D8" s="1"/>
  <c r="C7"/>
  <c r="D7" s="1"/>
  <c r="C6"/>
  <c r="D6" s="1"/>
  <c r="B30" s="1"/>
  <c r="C5"/>
  <c r="C4"/>
  <c r="D4" s="1"/>
  <c r="B28" s="1"/>
  <c r="C3"/>
  <c r="D3" s="1"/>
  <c r="C2"/>
  <c r="D2" s="1"/>
  <c r="A26" s="1"/>
  <c r="D5"/>
  <c r="A29" s="1"/>
  <c r="D13"/>
  <c r="A37" s="1"/>
  <c r="D17"/>
  <c r="A41" s="1"/>
  <c r="D21"/>
  <c r="A45" s="1"/>
  <c r="F4" l="1"/>
  <c r="A30"/>
  <c r="B37"/>
  <c r="A38"/>
  <c r="B41"/>
  <c r="A46"/>
  <c r="B45"/>
  <c r="B29"/>
  <c r="B33"/>
  <c r="B31"/>
  <c r="A31"/>
  <c r="B43"/>
  <c r="A43"/>
  <c r="B27"/>
  <c r="A27"/>
  <c r="B32"/>
  <c r="A32"/>
  <c r="B40"/>
  <c r="A40"/>
  <c r="B48"/>
  <c r="A48"/>
  <c r="A42"/>
  <c r="A47"/>
  <c r="A39"/>
  <c r="A35"/>
  <c r="B34"/>
  <c r="A44"/>
  <c r="A36"/>
  <c r="A28"/>
  <c r="B26"/>
  <c r="F3"/>
  <c r="F5" l="1"/>
  <c r="F6"/>
  <c r="F7" l="1"/>
  <c r="F8" l="1"/>
  <c r="F9" l="1"/>
  <c r="F10" l="1"/>
  <c r="F11" l="1"/>
  <c r="F12" l="1"/>
  <c r="F13" l="1"/>
  <c r="F14" l="1"/>
  <c r="F15" l="1"/>
  <c r="F16" l="1"/>
  <c r="F17" l="1"/>
  <c r="F18" l="1"/>
  <c r="F19" l="1"/>
  <c r="F20" l="1"/>
  <c r="F21" l="1"/>
  <c r="F22" l="1"/>
  <c r="F24" l="1"/>
  <c r="F23"/>
</calcChain>
</file>

<file path=xl/sharedStrings.xml><?xml version="1.0" encoding="utf-8"?>
<sst xmlns="http://schemas.openxmlformats.org/spreadsheetml/2006/main" count="165" uniqueCount="123">
  <si>
    <t>ALLEGRO_BITMAP *</t>
  </si>
  <si>
    <t>coqueiro-01</t>
  </si>
  <si>
    <t>coqueiro-02</t>
  </si>
  <si>
    <t>coqueiro-03</t>
  </si>
  <si>
    <t>coqueiro-04</t>
  </si>
  <si>
    <t>coqueiro-05</t>
  </si>
  <si>
    <t>coqueiro-06</t>
  </si>
  <si>
    <t>coqueiro-07</t>
  </si>
  <si>
    <t>coqueiro-08</t>
  </si>
  <si>
    <t>espinha</t>
  </si>
  <si>
    <t>fogueira</t>
  </si>
  <si>
    <t>fogueira-apagada</t>
  </si>
  <si>
    <t>galho-comum</t>
  </si>
  <si>
    <t>galho-fino</t>
  </si>
  <si>
    <t>galho-rigido</t>
  </si>
  <si>
    <t>galho-seco</t>
  </si>
  <si>
    <t>lanca</t>
  </si>
  <si>
    <t>machado</t>
  </si>
  <si>
    <t>mapa</t>
  </si>
  <si>
    <t>pedra-cortante</t>
  </si>
  <si>
    <t>peixe</t>
  </si>
  <si>
    <t>arvore-01</t>
  </si>
  <si>
    <t>arvore-02</t>
  </si>
  <si>
    <t>arvore-tombada</t>
  </si>
  <si>
    <t>arvore01</t>
  </si>
  <si>
    <t>arvore02</t>
  </si>
  <si>
    <t>arvoretombada</t>
  </si>
  <si>
    <t>coqueiro01</t>
  </si>
  <si>
    <t>coqueiro02</t>
  </si>
  <si>
    <t>coqueiro03</t>
  </si>
  <si>
    <t>coqueiro04</t>
  </si>
  <si>
    <t>coqueiro05</t>
  </si>
  <si>
    <t>coqueiro06</t>
  </si>
  <si>
    <t>coqueiro07</t>
  </si>
  <si>
    <t>coqueiro08</t>
  </si>
  <si>
    <t>fogueiraapagada</t>
  </si>
  <si>
    <t>galhocomum</t>
  </si>
  <si>
    <t>galhofino</t>
  </si>
  <si>
    <t>galhorigido</t>
  </si>
  <si>
    <t>galhoseco</t>
  </si>
  <si>
    <t>pedracortante</t>
  </si>
  <si>
    <t>"</t>
  </si>
  <si>
    <t>al_draw_scaled_bitmap(</t>
  </si>
  <si>
    <t>arvoreC</t>
  </si>
  <si>
    <t>,0,0,al_get_bitmap_width(</t>
  </si>
  <si>
    <t>),al_get_bitmap_height(</t>
  </si>
  <si>
    <t>),p*al_get_bitmap_height(</t>
  </si>
  <si>
    <t>),0);</t>
  </si>
  <si>
    <t>arvore01= al_load_bitmap("img/arvore-01.png");</t>
  </si>
  <si>
    <t>erro_imagem(arvore01,"img/arvore-01.png",janela);</t>
  </si>
  <si>
    <t>arvore02= al_load_bitmap("img/arvore-02.png");</t>
  </si>
  <si>
    <t>erro_imagem(arvore02,"img/arvore-02.png",janela);</t>
  </si>
  <si>
    <t>arvoretombada= al_load_bitmap("img/arvore-tombada.png");</t>
  </si>
  <si>
    <t>erro_imagem(arvoretombada,"img/arvore-tombada.png",janela);</t>
  </si>
  <si>
    <t>coqueiro01= al_load_bitmap("img/coqueiro-01.png");</t>
  </si>
  <si>
    <t>erro_imagem(coqueiro01,"img/coqueiro-01.png",janela);</t>
  </si>
  <si>
    <t>coqueiro02= al_load_bitmap("img/coqueiro-02.png");</t>
  </si>
  <si>
    <t>erro_imagem(coqueiro02,"img/coqueiro-02.png",janela);</t>
  </si>
  <si>
    <t>coqueiro03= al_load_bitmap("img/coqueiro-03.png");</t>
  </si>
  <si>
    <t>erro_imagem(coqueiro03,"img/coqueiro-03.png",janela);</t>
  </si>
  <si>
    <t>coqueiro04= al_load_bitmap("img/coqueiro-04.png");</t>
  </si>
  <si>
    <t>erro_imagem(coqueiro04,"img/coqueiro-04.png",janela);</t>
  </si>
  <si>
    <t>coqueiro05= al_load_bitmap("img/coqueiro-05.png");</t>
  </si>
  <si>
    <t>erro_imagem(coqueiro05,"img/coqueiro-05.png",janela);</t>
  </si>
  <si>
    <t>coqueiro06= al_load_bitmap("img/coqueiro-06.png");</t>
  </si>
  <si>
    <t>erro_imagem(coqueiro06,"img/coqueiro-06.png",janela);</t>
  </si>
  <si>
    <t>coqueiro07= al_load_bitmap("img/coqueiro-07.png");</t>
  </si>
  <si>
    <t>erro_imagem(coqueiro07,"img/coqueiro-07.png",janela);</t>
  </si>
  <si>
    <t>coqueiro08= al_load_bitmap("img/coqueiro-08.png");</t>
  </si>
  <si>
    <t>erro_imagem(coqueiro08,"img/coqueiro-08.png",janela);</t>
  </si>
  <si>
    <t>espinha= al_load_bitmap("img/espinha.png");</t>
  </si>
  <si>
    <t>erro_imagem(espinha,"img/espinha.png",janela);</t>
  </si>
  <si>
    <t>fogueira= al_load_bitmap("img/fogueira.png");</t>
  </si>
  <si>
    <t>erro_imagem(fogueira,"img/fogueira.png",janela);</t>
  </si>
  <si>
    <t>fogueiraapagada= al_load_bitmap("img/fogueira-apagada.png");</t>
  </si>
  <si>
    <t>erro_imagem(fogueiraapagada,"img/fogueira-apagada.png",janela);</t>
  </si>
  <si>
    <t>galhocomum= al_load_bitmap("img/galho-comum.png");</t>
  </si>
  <si>
    <t>erro_imagem(galhocomum,"img/galho-comum.png",janela);</t>
  </si>
  <si>
    <t>galhofino= al_load_bitmap("img/galho-fino.png");</t>
  </si>
  <si>
    <t>erro_imagem(galhofino,"img/galho-fino.png",janela);</t>
  </si>
  <si>
    <t>galhorigido= al_load_bitmap("img/galho-rigido.png");</t>
  </si>
  <si>
    <t>erro_imagem(galhorigido,"img/galho-rigido.png",janela);</t>
  </si>
  <si>
    <t>galhoseco= al_load_bitmap("img/galho-seco.png");</t>
  </si>
  <si>
    <t>erro_imagem(galhoseco,"img/galho-seco.png",janela);</t>
  </si>
  <si>
    <t>lanca= al_load_bitmap("img/lanca.png");</t>
  </si>
  <si>
    <t>erro_imagem(lanca,"img/lanca.png",janela);</t>
  </si>
  <si>
    <t>machado= al_load_bitmap("img/machado.png");</t>
  </si>
  <si>
    <t>erro_imagem(machado,"img/machado.png",janela);</t>
  </si>
  <si>
    <t>mapa= al_load_bitmap("img/mapa.png");</t>
  </si>
  <si>
    <t>erro_imagem(mapa,"img/mapa.png",janela);</t>
  </si>
  <si>
    <t>pedracortante= al_load_bitmap("img/pedra-cortante.png");</t>
  </si>
  <si>
    <t>erro_imagem(pedracortante,"img/pedra-cortante.png",janela);</t>
  </si>
  <si>
    <t>peixe= al_load_bitmap("img/peixe.png");</t>
  </si>
  <si>
    <t>erro_imagem(peixe,"img/peixe.png",janela);</t>
  </si>
  <si>
    <t>largura</t>
  </si>
  <si>
    <t>altura</t>
  </si>
  <si>
    <t>),</t>
  </si>
  <si>
    <t>,</t>
  </si>
  <si>
    <t>,p*al_get_bitmap_width(</t>
  </si>
  <si>
    <t>al_draw_scaled_bitmap(arvore01,0,0,al_get_bitmap_width(arvore01),al_get_bitmap_height(arvore01),10,10,p*al_get_bitmap_width(arvore01),p*al_get_bitmap_height(arvore01),0);</t>
  </si>
  <si>
    <t>al_draw_scaled_bitmap(arvore02,0,0,al_get_bitmap_width(arvore02),al_get_bitmap_height(arvore02),20,20,p*al_get_bitmap_width(arvore02),p*al_get_bitmap_height(arvore02),0);</t>
  </si>
  <si>
    <t>al_draw_scaled_bitmap(arvoretombada,0,0,al_get_bitmap_width(arvoretombada),al_get_bitmap_height(arvoretombada),30,30,p*al_get_bitmap_width(arvoretombada),p*al_get_bitmap_height(arvoretombada),0);</t>
  </si>
  <si>
    <t>al_draw_scaled_bitmap(coqueiro01,0,0,al_get_bitmap_width(coqueiro01),al_get_bitmap_height(coqueiro01),40,40,p*al_get_bitmap_width(coqueiro01),p*al_get_bitmap_height(coqueiro01),0);</t>
  </si>
  <si>
    <t>al_draw_scaled_bitmap(coqueiro02,0,0,al_get_bitmap_width(coqueiro02),al_get_bitmap_height(coqueiro02),50,50,p*al_get_bitmap_width(coqueiro02),p*al_get_bitmap_height(coqueiro02),0);</t>
  </si>
  <si>
    <t>al_draw_scaled_bitmap(coqueiro03,0,0,al_get_bitmap_width(coqueiro03),al_get_bitmap_height(coqueiro03),60,60,p*al_get_bitmap_width(coqueiro03),p*al_get_bitmap_height(coqueiro03),0);</t>
  </si>
  <si>
    <t>al_draw_scaled_bitmap(coqueiro04,0,0,al_get_bitmap_width(coqueiro04),al_get_bitmap_height(coqueiro04),70,70,p*al_get_bitmap_width(coqueiro04),p*al_get_bitmap_height(coqueiro04),0);</t>
  </si>
  <si>
    <t>al_draw_scaled_bitmap(coqueiro05,0,0,al_get_bitmap_width(coqueiro05),al_get_bitmap_height(coqueiro05),80,80,p*al_get_bitmap_width(coqueiro05),p*al_get_bitmap_height(coqueiro05),0);</t>
  </si>
  <si>
    <t>al_draw_scaled_bitmap(coqueiro06,0,0,al_get_bitmap_width(coqueiro06),al_get_bitmap_height(coqueiro06),90,90,p*al_get_bitmap_width(coqueiro06),p*al_get_bitmap_height(coqueiro06),0);</t>
  </si>
  <si>
    <t>al_draw_scaled_bitmap(coqueiro07,0,0,al_get_bitmap_width(coqueiro07),al_get_bitmap_height(coqueiro07),100,100,p*al_get_bitmap_width(coqueiro07),p*al_get_bitmap_height(coqueiro07),0);</t>
  </si>
  <si>
    <t>al_draw_scaled_bitmap(coqueiro08,0,0,al_get_bitmap_width(coqueiro08),al_get_bitmap_height(coqueiro08),110,110,p*al_get_bitmap_width(coqueiro08),p*al_get_bitmap_height(coqueiro08),0);</t>
  </si>
  <si>
    <t>al_draw_scaled_bitmap(espinha,0,0,al_get_bitmap_width(espinha),al_get_bitmap_height(espinha),120,120,p*al_get_bitmap_width(espinha),p*al_get_bitmap_height(espinha),0);</t>
  </si>
  <si>
    <t>al_draw_scaled_bitmap(fogueira,0,0,al_get_bitmap_width(fogueira),al_get_bitmap_height(fogueira),130,130,p*al_get_bitmap_width(fogueira),p*al_get_bitmap_height(fogueira),0);</t>
  </si>
  <si>
    <t>al_draw_scaled_bitmap(fogueiraapagada,0,0,al_get_bitmap_width(fogueiraapagada),al_get_bitmap_height(fogueiraapagada),140,140,p*al_get_bitmap_width(fogueiraapagada),p*al_get_bitmap_height(fogueiraapagada),0);</t>
  </si>
  <si>
    <t>al_draw_scaled_bitmap(galhocomum,0,0,al_get_bitmap_width(galhocomum),al_get_bitmap_height(galhocomum),150,150,p*al_get_bitmap_width(galhocomum),p*al_get_bitmap_height(galhocomum),0);</t>
  </si>
  <si>
    <t>al_draw_scaled_bitmap(galhofino,0,0,al_get_bitmap_width(galhofino),al_get_bitmap_height(galhofino),160,160,p*al_get_bitmap_width(galhofino),p*al_get_bitmap_height(galhofino),0);</t>
  </si>
  <si>
    <t>al_draw_scaled_bitmap(galhorigido,0,0,al_get_bitmap_width(galhorigido),al_get_bitmap_height(galhorigido),170,170,p*al_get_bitmap_width(galhorigido),p*al_get_bitmap_height(galhorigido),0);</t>
  </si>
  <si>
    <t>al_draw_scaled_bitmap(galhoseco,0,0,al_get_bitmap_width(galhoseco),al_get_bitmap_height(galhoseco),180,180,p*al_get_bitmap_width(galhoseco),p*al_get_bitmap_height(galhoseco),0);</t>
  </si>
  <si>
    <t>al_draw_scaled_bitmap(lanca,0,0,al_get_bitmap_width(lanca),al_get_bitmap_height(lanca),190,190,p*al_get_bitmap_width(lanca),p*al_get_bitmap_height(lanca),0);</t>
  </si>
  <si>
    <t>al_draw_scaled_bitmap(machado,0,0,al_get_bitmap_width(machado),al_get_bitmap_height(machado),200,200,p*al_get_bitmap_width(machado),p*al_get_bitmap_height(machado),0);</t>
  </si>
  <si>
    <t>al_draw_scaled_bitmap(mapa,0,0,al_get_bitmap_width(mapa),al_get_bitmap_height(mapa),210,210,p*al_get_bitmap_width(mapa),p*al_get_bitmap_height(mapa),0);</t>
  </si>
  <si>
    <t>al_draw_scaled_bitmap(pedracortante,0,0,al_get_bitmap_width(pedracortante),al_get_bitmap_height(pedracortante),220,220,p*al_get_bitmap_width(pedracortante),p*al_get_bitmap_height(pedracortante),0);</t>
  </si>
  <si>
    <t>al_draw_scaled_bitmap(peixe,0,0,al_get_bitmap_width(peixe),al_get_bitmap_height(peixe),230,230,p*al_get_bitmap_width(peixe),p*al_get_bitmap_height(peixe),0);</t>
  </si>
  <si>
    <t>ok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</si>
</sst>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T122"/>
  <sheetViews>
    <sheetView tabSelected="1" topLeftCell="I1" workbookViewId="0">
      <selection activeCell="N12" sqref="N12"/>
    </sheetView>
  </sheetViews>
  <sheetFormatPr defaultRowHeight="15"/>
  <cols>
    <col min="1" max="1" width="59.7109375" hidden="1" customWidth="1"/>
    <col min="2" max="2" width="55.7109375" hidden="1" customWidth="1"/>
    <col min="3" max="3" width="20.5703125" hidden="1" customWidth="1"/>
    <col min="4" max="4" width="26.7109375" hidden="1" customWidth="1"/>
    <col min="5" max="5" width="15.85546875" bestFit="1" customWidth="1"/>
    <col min="6" max="6" width="23" bestFit="1" customWidth="1"/>
    <col min="7" max="7" width="7.85546875" bestFit="1" customWidth="1"/>
    <col min="8" max="8" width="24.7109375" bestFit="1" customWidth="1"/>
    <col min="9" max="9" width="7.85546875" bestFit="1" customWidth="1"/>
    <col min="10" max="10" width="22.85546875" bestFit="1" customWidth="1"/>
    <col min="11" max="11" width="7.85546875" bestFit="1" customWidth="1"/>
    <col min="12" max="12" width="30.85546875" bestFit="1" customWidth="1"/>
    <col min="13" max="16" width="30.85546875" customWidth="1"/>
    <col min="17" max="17" width="7.85546875" bestFit="1" customWidth="1"/>
    <col min="18" max="18" width="25" bestFit="1" customWidth="1"/>
    <col min="19" max="19" width="7.85546875" bestFit="1" customWidth="1"/>
    <col min="20" max="20" width="4.5703125" bestFit="1" customWidth="1"/>
  </cols>
  <sheetData>
    <row r="1" spans="1:20">
      <c r="C1" t="s">
        <v>41</v>
      </c>
      <c r="F1" t="s">
        <v>42</v>
      </c>
      <c r="G1" t="s">
        <v>43</v>
      </c>
      <c r="H1" t="s">
        <v>44</v>
      </c>
      <c r="I1" t="s">
        <v>43</v>
      </c>
      <c r="J1" t="s">
        <v>45</v>
      </c>
      <c r="K1" t="s">
        <v>43</v>
      </c>
      <c r="L1" t="s">
        <v>96</v>
      </c>
      <c r="M1">
        <v>620</v>
      </c>
      <c r="N1" t="s">
        <v>97</v>
      </c>
      <c r="O1">
        <v>44</v>
      </c>
      <c r="P1" t="s">
        <v>98</v>
      </c>
      <c r="Q1" t="s">
        <v>43</v>
      </c>
      <c r="R1" t="s">
        <v>46</v>
      </c>
      <c r="S1" t="s">
        <v>43</v>
      </c>
      <c r="T1" t="s">
        <v>47</v>
      </c>
    </row>
    <row r="2" spans="1:20">
      <c r="A2" t="s">
        <v>0</v>
      </c>
      <c r="B2" t="s">
        <v>21</v>
      </c>
      <c r="C2" t="str">
        <f>CONCATENATE(B2,".png")</f>
        <v>arvore-01.png</v>
      </c>
      <c r="D2" t="str">
        <f>CONCATENATE($C$1,"img/",C2,$C$1)</f>
        <v>"img/arvore-01.png"</v>
      </c>
      <c r="E2" t="s">
        <v>24</v>
      </c>
      <c r="F2" t="str">
        <f>CONCATENATE($F$1,E2,$H$1,E2,$J$1,E2,$L$1,K2,$N$1,L2,$P$1,E2,$R$1,E2,$T$1)</f>
        <v>al_draw_scaled_bitmap(arvore01,0,0,al_get_bitmap_width(arvore01),al_get_bitmap_height(arvore01),245,170,p*al_get_bitmap_width(arvore01),p*al_get_bitmap_height(arvore01),0);</v>
      </c>
      <c r="K2">
        <v>245</v>
      </c>
      <c r="L2">
        <v>170</v>
      </c>
      <c r="M2" t="s">
        <v>122</v>
      </c>
    </row>
    <row r="3" spans="1:20">
      <c r="A3" t="s">
        <v>0</v>
      </c>
      <c r="B3" t="s">
        <v>22</v>
      </c>
      <c r="C3" t="str">
        <f t="shared" ref="C3:C24" si="0">CONCATENATE(B3,".png")</f>
        <v>arvore-02.png</v>
      </c>
      <c r="D3" t="str">
        <f t="shared" ref="D3:D24" si="1">CONCATENATE($C$1,"img/",C3,$C$1)</f>
        <v>"img/arvore-02.png"</v>
      </c>
      <c r="E3" t="s">
        <v>25</v>
      </c>
      <c r="F3" t="str">
        <f>CONCATENATE($F$1,E3,$H$1,E3,$J$1,E3,$L$1,K3,$N$1,L3,$P$1,E3,$R$1,E3,$T$1)</f>
        <v>al_draw_scaled_bitmap(arvore02,0,0,al_get_bitmap_width(arvore02),al_get_bitmap_height(arvore02),670,280,p*al_get_bitmap_width(arvore02),p*al_get_bitmap_height(arvore02),0);</v>
      </c>
      <c r="K3">
        <v>670</v>
      </c>
      <c r="L3">
        <v>280</v>
      </c>
      <c r="M3" t="s">
        <v>122</v>
      </c>
    </row>
    <row r="4" spans="1:20">
      <c r="A4" t="s">
        <v>0</v>
      </c>
      <c r="B4" t="s">
        <v>23</v>
      </c>
      <c r="C4" t="str">
        <f t="shared" si="0"/>
        <v>arvore-tombada.png</v>
      </c>
      <c r="D4" t="str">
        <f t="shared" si="1"/>
        <v>"img/arvore-tombada.png"</v>
      </c>
      <c r="E4" t="s">
        <v>26</v>
      </c>
      <c r="F4" t="str">
        <f>CONCATENATE($F$1,E4,$H$1,E4,$J$1,E4,$L$1,K4,$N$1,L4,$P$1,E4,$R$1,E4,$T$1)</f>
        <v>al_draw_scaled_bitmap(arvoretombada,0,0,al_get_bitmap_width(arvoretombada),al_get_bitmap_height(arvoretombada),675,155,p*al_get_bitmap_width(arvoretombada),p*al_get_bitmap_height(arvoretombada),0);</v>
      </c>
      <c r="K4">
        <v>675</v>
      </c>
      <c r="L4">
        <v>155</v>
      </c>
      <c r="M4" t="s">
        <v>122</v>
      </c>
    </row>
    <row r="5" spans="1:20">
      <c r="A5" t="s">
        <v>0</v>
      </c>
      <c r="B5" t="s">
        <v>1</v>
      </c>
      <c r="C5" t="str">
        <f t="shared" si="0"/>
        <v>coqueiro-01.png</v>
      </c>
      <c r="D5" t="str">
        <f t="shared" si="1"/>
        <v>"img/coqueiro-01.png"</v>
      </c>
      <c r="E5" t="s">
        <v>27</v>
      </c>
      <c r="F5" t="str">
        <f>CONCATENATE($F$1,E5,$H$1,E5,$J$1,E5,$L$1,K5,$N$1,L5,$P$1,E5,$R$1,E5,$T$1)</f>
        <v>al_draw_scaled_bitmap(coqueiro01,0,0,al_get_bitmap_width(coqueiro01),al_get_bitmap_height(coqueiro01),75,0,p*al_get_bitmap_width(coqueiro01),p*al_get_bitmap_height(coqueiro01),0);</v>
      </c>
      <c r="K5">
        <v>75</v>
      </c>
      <c r="L5">
        <v>0</v>
      </c>
      <c r="M5" t="s">
        <v>122</v>
      </c>
    </row>
    <row r="6" spans="1:20">
      <c r="A6" t="s">
        <v>0</v>
      </c>
      <c r="B6" t="s">
        <v>2</v>
      </c>
      <c r="C6" t="str">
        <f t="shared" si="0"/>
        <v>coqueiro-02.png</v>
      </c>
      <c r="D6" t="str">
        <f t="shared" si="1"/>
        <v>"img/coqueiro-02.png"</v>
      </c>
      <c r="E6" t="s">
        <v>28</v>
      </c>
      <c r="F6" t="str">
        <f>CONCATENATE($F$1,E6,$H$1,E6,$J$1,E6,$L$1,K6,$N$1,L6,$P$1,E6,$R$1,E6,$T$1)</f>
        <v>al_draw_scaled_bitmap(coqueiro02,0,0,al_get_bitmap_width(coqueiro02),al_get_bitmap_height(coqueiro02),300,-95,p*al_get_bitmap_width(coqueiro02),p*al_get_bitmap_height(coqueiro02),0);</v>
      </c>
      <c r="K6">
        <v>300</v>
      </c>
      <c r="L6">
        <v>-95</v>
      </c>
      <c r="M6" t="s">
        <v>122</v>
      </c>
    </row>
    <row r="7" spans="1:20">
      <c r="A7" t="s">
        <v>0</v>
      </c>
      <c r="B7" t="s">
        <v>3</v>
      </c>
      <c r="C7" t="str">
        <f t="shared" si="0"/>
        <v>coqueiro-03.png</v>
      </c>
      <c r="D7" t="str">
        <f t="shared" si="1"/>
        <v>"img/coqueiro-03.png"</v>
      </c>
      <c r="E7" t="s">
        <v>29</v>
      </c>
      <c r="F7" s="1" t="str">
        <f>CONCATENATE($F$1,E7,$H$1,E7,$J$1,E7,$L$1,K7,$N$1,L7,$P$1,E7,$R$1,E7,$T$1)</f>
        <v>al_draw_scaled_bitmap(coqueiro03,0,0,al_get_bitmap_width(coqueiro03),al_get_bitmap_height(coqueiro03),340,230,p*al_get_bitmap_width(coqueiro03),p*al_get_bitmap_height(coqueiro03),0);</v>
      </c>
      <c r="K7">
        <v>340</v>
      </c>
      <c r="L7">
        <v>230</v>
      </c>
      <c r="M7" t="s">
        <v>122</v>
      </c>
    </row>
    <row r="8" spans="1:20">
      <c r="A8" t="s">
        <v>0</v>
      </c>
      <c r="B8" t="s">
        <v>4</v>
      </c>
      <c r="C8" t="str">
        <f t="shared" si="0"/>
        <v>coqueiro-04.png</v>
      </c>
      <c r="D8" t="str">
        <f t="shared" si="1"/>
        <v>"img/coqueiro-04.png"</v>
      </c>
      <c r="E8" t="s">
        <v>30</v>
      </c>
      <c r="F8" t="str">
        <f>CONCATENATE($F$1,E8,$H$1,E8,$J$1,E8,$L$1,K8,$N$1,L8,$P$1,E8,$R$1,E8,$T$1)</f>
        <v>al_draw_scaled_bitmap(coqueiro04,0,0,al_get_bitmap_width(coqueiro04),al_get_bitmap_height(coqueiro04),475,-115,p*al_get_bitmap_width(coqueiro04),p*al_get_bitmap_height(coqueiro04),0);</v>
      </c>
      <c r="K8">
        <v>475</v>
      </c>
      <c r="L8">
        <v>-115</v>
      </c>
      <c r="M8" t="s">
        <v>122</v>
      </c>
    </row>
    <row r="9" spans="1:20">
      <c r="A9" t="s">
        <v>0</v>
      </c>
      <c r="B9" t="s">
        <v>5</v>
      </c>
      <c r="C9" t="str">
        <f t="shared" si="0"/>
        <v>coqueiro-05.png</v>
      </c>
      <c r="D9" t="str">
        <f t="shared" si="1"/>
        <v>"img/coqueiro-05.png"</v>
      </c>
      <c r="E9" t="s">
        <v>31</v>
      </c>
      <c r="F9" t="str">
        <f>CONCATENATE($F$1,E9,$H$1,E9,$J$1,E9,$L$1,K9,$N$1,L9,$P$1,E9,$R$1,E9,$T$1)</f>
        <v>al_draw_scaled_bitmap(coqueiro05,0,0,al_get_bitmap_width(coqueiro05),al_get_bitmap_height(coqueiro05),475,15,p*al_get_bitmap_width(coqueiro05),p*al_get_bitmap_height(coqueiro05),0);</v>
      </c>
      <c r="K9">
        <v>475</v>
      </c>
      <c r="L9">
        <v>15</v>
      </c>
      <c r="M9" t="s">
        <v>122</v>
      </c>
    </row>
    <row r="10" spans="1:20">
      <c r="A10" t="s">
        <v>0</v>
      </c>
      <c r="B10" t="s">
        <v>6</v>
      </c>
      <c r="C10" t="str">
        <f t="shared" si="0"/>
        <v>coqueiro-06.png</v>
      </c>
      <c r="D10" t="str">
        <f t="shared" si="1"/>
        <v>"img/coqueiro-06.png"</v>
      </c>
      <c r="E10" t="s">
        <v>32</v>
      </c>
      <c r="F10" t="str">
        <f>CONCATENATE($F$1,E10,$H$1,E10,$J$1,E10,$L$1,K10,$N$1,L10,$P$1,E10,$R$1,E10,$T$1)</f>
        <v>al_draw_scaled_bitmap(coqueiro06,0,0,al_get_bitmap_width(coqueiro06),al_get_bitmap_height(coqueiro06),850,300,p*al_get_bitmap_width(coqueiro06),p*al_get_bitmap_height(coqueiro06),0);</v>
      </c>
      <c r="K10">
        <v>850</v>
      </c>
      <c r="L10">
        <v>300</v>
      </c>
      <c r="M10" t="s">
        <v>122</v>
      </c>
    </row>
    <row r="11" spans="1:20">
      <c r="A11" t="s">
        <v>0</v>
      </c>
      <c r="B11" t="s">
        <v>7</v>
      </c>
      <c r="C11" t="str">
        <f t="shared" si="0"/>
        <v>coqueiro-07.png</v>
      </c>
      <c r="D11" t="str">
        <f t="shared" si="1"/>
        <v>"img/coqueiro-07.png"</v>
      </c>
      <c r="E11" t="s">
        <v>33</v>
      </c>
      <c r="F11" t="str">
        <f>CONCATENATE($F$1,E11,$H$1,E11,$J$1,E11,$L$1,K11,$N$1,L11,$P$1,E11,$R$1,E11,$T$1)</f>
        <v>al_draw_scaled_bitmap(coqueiro07,0,0,al_get_bitmap_width(coqueiro07),al_get_bitmap_height(coqueiro07),850,-110,p*al_get_bitmap_width(coqueiro07),p*al_get_bitmap_height(coqueiro07),0);</v>
      </c>
      <c r="K11">
        <v>850</v>
      </c>
      <c r="L11">
        <v>-110</v>
      </c>
      <c r="M11" t="s">
        <v>122</v>
      </c>
    </row>
    <row r="12" spans="1:20">
      <c r="A12" t="s">
        <v>0</v>
      </c>
      <c r="B12" t="s">
        <v>8</v>
      </c>
      <c r="C12" t="str">
        <f t="shared" si="0"/>
        <v>coqueiro-08.png</v>
      </c>
      <c r="D12" t="str">
        <f t="shared" si="1"/>
        <v>"img/coqueiro-08.png"</v>
      </c>
      <c r="E12" t="s">
        <v>34</v>
      </c>
      <c r="F12" t="str">
        <f>CONCATENATE($F$1,E12,$H$1,E12,$J$1,E12,$L$1,K12,$N$1,L12,$P$1,E12,$R$1,E12,$T$1)</f>
        <v>al_draw_scaled_bitmap(coqueiro08,0,0,al_get_bitmap_width(coqueiro08),al_get_bitmap_height(coqueiro08),960,-30,p*al_get_bitmap_width(coqueiro08),p*al_get_bitmap_height(coqueiro08),0);</v>
      </c>
      <c r="K12">
        <v>960</v>
      </c>
      <c r="L12">
        <v>-30</v>
      </c>
    </row>
    <row r="13" spans="1:20">
      <c r="A13" t="s">
        <v>0</v>
      </c>
      <c r="B13" t="s">
        <v>9</v>
      </c>
      <c r="C13" t="str">
        <f t="shared" si="0"/>
        <v>espinha.png</v>
      </c>
      <c r="D13" t="str">
        <f t="shared" si="1"/>
        <v>"img/espinha.png"</v>
      </c>
      <c r="E13" t="s">
        <v>9</v>
      </c>
      <c r="F13" t="str">
        <f>CONCATENATE($F$1,E13,$H$1,E13,$J$1,E13,$L$1,K13,$N$1,L13,$P$1,E13,$R$1,E13,$T$1)</f>
        <v>al_draw_scaled_bitmap(espinha,0,0,al_get_bitmap_width(espinha),al_get_bitmap_height(espinha),765,245,p*al_get_bitmap_width(espinha),p*al_get_bitmap_height(espinha),0);</v>
      </c>
      <c r="K13">
        <v>765</v>
      </c>
      <c r="L13">
        <v>245</v>
      </c>
    </row>
    <row r="14" spans="1:20">
      <c r="A14" t="s">
        <v>0</v>
      </c>
      <c r="B14" t="s">
        <v>10</v>
      </c>
      <c r="C14" t="str">
        <f t="shared" si="0"/>
        <v>fogueira.png</v>
      </c>
      <c r="D14" t="str">
        <f t="shared" si="1"/>
        <v>"img/fogueira.png"</v>
      </c>
      <c r="E14" t="s">
        <v>10</v>
      </c>
      <c r="F14" t="str">
        <f>CONCATENATE($F$1,E14,$H$1,E14,$J$1,E14,$L$1,K14,$N$1,L14,$P$1,E14,$R$1,E14,$T$1)</f>
        <v>al_draw_scaled_bitmap(fogueira,0,0,al_get_bitmap_width(fogueira),al_get_bitmap_height(fogueira),775,255,p*al_get_bitmap_width(fogueira),p*al_get_bitmap_height(fogueira),0);</v>
      </c>
      <c r="K14">
        <v>775</v>
      </c>
      <c r="L14">
        <v>255</v>
      </c>
    </row>
    <row r="15" spans="1:20">
      <c r="A15" t="s">
        <v>0</v>
      </c>
      <c r="B15" t="s">
        <v>11</v>
      </c>
      <c r="C15" t="str">
        <f t="shared" si="0"/>
        <v>fogueira-apagada.png</v>
      </c>
      <c r="D15" t="str">
        <f t="shared" si="1"/>
        <v>"img/fogueira-apagada.png"</v>
      </c>
      <c r="E15" t="s">
        <v>35</v>
      </c>
      <c r="F15" t="str">
        <f>CONCATENATE($F$1,E15,$H$1,E15,$J$1,E15,$L$1,K15,$N$1,L15,$P$1,E15,$R$1,E15,$T$1)</f>
        <v>al_draw_scaled_bitmap(fogueiraapagada,0,0,al_get_bitmap_width(fogueiraapagada),al_get_bitmap_height(fogueiraapagada),785,265,p*al_get_bitmap_width(fogueiraapagada),p*al_get_bitmap_height(fogueiraapagada),0);</v>
      </c>
      <c r="K15">
        <v>785</v>
      </c>
      <c r="L15">
        <v>265</v>
      </c>
    </row>
    <row r="16" spans="1:20">
      <c r="A16" t="s">
        <v>0</v>
      </c>
      <c r="B16" t="s">
        <v>12</v>
      </c>
      <c r="C16" t="str">
        <f t="shared" si="0"/>
        <v>galho-comum.png</v>
      </c>
      <c r="D16" t="str">
        <f t="shared" si="1"/>
        <v>"img/galho-comum.png"</v>
      </c>
      <c r="E16" t="s">
        <v>36</v>
      </c>
      <c r="F16" t="str">
        <f>CONCATENATE($F$1,E16,$H$1,E16,$J$1,E16,$L$1,K16,$N$1,L16,$P$1,E16,$R$1,E16,$T$1)</f>
        <v>al_draw_scaled_bitmap(galhocomum,0,0,al_get_bitmap_width(galhocomum),al_get_bitmap_height(galhocomum),795,275,p*al_get_bitmap_width(galhocomum),p*al_get_bitmap_height(galhocomum),0);</v>
      </c>
      <c r="K16">
        <v>795</v>
      </c>
      <c r="L16">
        <v>275</v>
      </c>
    </row>
    <row r="17" spans="1:15">
      <c r="A17" t="s">
        <v>0</v>
      </c>
      <c r="B17" t="s">
        <v>13</v>
      </c>
      <c r="C17" t="str">
        <f t="shared" si="0"/>
        <v>galho-fino.png</v>
      </c>
      <c r="D17" t="str">
        <f t="shared" si="1"/>
        <v>"img/galho-fino.png"</v>
      </c>
      <c r="E17" t="s">
        <v>37</v>
      </c>
      <c r="F17" t="str">
        <f>CONCATENATE($F$1,E17,$H$1,E17,$J$1,E17,$L$1,K17,$N$1,L17,$P$1,E17,$R$1,E17,$T$1)</f>
        <v>al_draw_scaled_bitmap(galhofino,0,0,al_get_bitmap_width(galhofino),al_get_bitmap_height(galhofino),805,285,p*al_get_bitmap_width(galhofino),p*al_get_bitmap_height(galhofino),0);</v>
      </c>
      <c r="K17">
        <v>805</v>
      </c>
      <c r="L17">
        <v>285</v>
      </c>
      <c r="O17" s="2"/>
    </row>
    <row r="18" spans="1:15">
      <c r="A18" t="s">
        <v>0</v>
      </c>
      <c r="B18" t="s">
        <v>14</v>
      </c>
      <c r="C18" t="str">
        <f t="shared" si="0"/>
        <v>galho-rigido.png</v>
      </c>
      <c r="D18" t="str">
        <f t="shared" si="1"/>
        <v>"img/galho-rigido.png"</v>
      </c>
      <c r="E18" t="s">
        <v>38</v>
      </c>
      <c r="F18" t="str">
        <f>CONCATENATE($F$1,E18,$H$1,E18,$J$1,E18,$L$1,K18,$N$1,L18,$P$1,E18,$R$1,E18,$T$1)</f>
        <v>al_draw_scaled_bitmap(galhorigido,0,0,al_get_bitmap_width(galhorigido),al_get_bitmap_height(galhorigido),815,295,p*al_get_bitmap_width(galhorigido),p*al_get_bitmap_height(galhorigido),0);</v>
      </c>
      <c r="K18">
        <v>815</v>
      </c>
      <c r="L18">
        <v>295</v>
      </c>
    </row>
    <row r="19" spans="1:15">
      <c r="A19" t="s">
        <v>0</v>
      </c>
      <c r="B19" t="s">
        <v>15</v>
      </c>
      <c r="C19" t="str">
        <f t="shared" si="0"/>
        <v>galho-seco.png</v>
      </c>
      <c r="D19" t="str">
        <f t="shared" si="1"/>
        <v>"img/galho-seco.png"</v>
      </c>
      <c r="E19" t="s">
        <v>39</v>
      </c>
      <c r="F19" t="str">
        <f>CONCATENATE($F$1,E19,$H$1,E19,$J$1,E19,$L$1,K19,$N$1,L19,$P$1,E19,$R$1,E19,$T$1)</f>
        <v>al_draw_scaled_bitmap(galhoseco,0,0,al_get_bitmap_width(galhoseco),al_get_bitmap_height(galhoseco),825,305,p*al_get_bitmap_width(galhoseco),p*al_get_bitmap_height(galhoseco),0);</v>
      </c>
      <c r="K19">
        <v>825</v>
      </c>
      <c r="L19">
        <v>305</v>
      </c>
    </row>
    <row r="20" spans="1:15">
      <c r="A20" t="s">
        <v>0</v>
      </c>
      <c r="B20" t="s">
        <v>16</v>
      </c>
      <c r="C20" t="str">
        <f t="shared" si="0"/>
        <v>lanca.png</v>
      </c>
      <c r="D20" t="str">
        <f t="shared" si="1"/>
        <v>"img/lanca.png"</v>
      </c>
      <c r="E20" t="s">
        <v>16</v>
      </c>
      <c r="F20" t="str">
        <f>CONCATENATE($F$1,E20,$H$1,E20,$J$1,E20,$L$1,K20,$N$1,L20,$P$1,E20,$R$1,E20,$T$1)</f>
        <v>al_draw_scaled_bitmap(lanca,0,0,al_get_bitmap_width(lanca),al_get_bitmap_height(lanca),835,315,p*al_get_bitmap_width(lanca),p*al_get_bitmap_height(lanca),0);</v>
      </c>
      <c r="K20">
        <v>835</v>
      </c>
      <c r="L20">
        <v>315</v>
      </c>
    </row>
    <row r="21" spans="1:15">
      <c r="A21" t="s">
        <v>0</v>
      </c>
      <c r="B21" t="s">
        <v>17</v>
      </c>
      <c r="C21" t="str">
        <f t="shared" si="0"/>
        <v>machado.png</v>
      </c>
      <c r="D21" t="str">
        <f t="shared" si="1"/>
        <v>"img/machado.png"</v>
      </c>
      <c r="E21" t="s">
        <v>17</v>
      </c>
      <c r="F21" t="str">
        <f>CONCATENATE($F$1,E21,$H$1,E21,$J$1,E21,$L$1,K21,$N$1,L21,$P$1,E21,$R$1,E21,$T$1)</f>
        <v>al_draw_scaled_bitmap(machado,0,0,al_get_bitmap_width(machado),al_get_bitmap_height(machado),845,325,p*al_get_bitmap_width(machado),p*al_get_bitmap_height(machado),0);</v>
      </c>
      <c r="K21">
        <v>845</v>
      </c>
      <c r="L21">
        <v>325</v>
      </c>
    </row>
    <row r="22" spans="1:15">
      <c r="A22" t="s">
        <v>0</v>
      </c>
      <c r="B22" t="s">
        <v>18</v>
      </c>
      <c r="C22" t="str">
        <f t="shared" si="0"/>
        <v>mapa.png</v>
      </c>
      <c r="D22" t="str">
        <f t="shared" si="1"/>
        <v>"img/mapa.png"</v>
      </c>
      <c r="E22" t="s">
        <v>18</v>
      </c>
      <c r="F22" t="str">
        <f>CONCATENATE($F$1,E22,$H$1,E22,$J$1,E22,$L$1,K22,$N$1,L22,$P$1,E22,$R$1,E22,$T$1)</f>
        <v>al_draw_scaled_bitmap(mapa,0,0,al_get_bitmap_width(mapa),al_get_bitmap_height(mapa),855,335,p*al_get_bitmap_width(mapa),p*al_get_bitmap_height(mapa),0);</v>
      </c>
      <c r="K22">
        <v>855</v>
      </c>
      <c r="L22">
        <v>335</v>
      </c>
    </row>
    <row r="23" spans="1:15">
      <c r="A23" t="s">
        <v>0</v>
      </c>
      <c r="B23" t="s">
        <v>19</v>
      </c>
      <c r="C23" t="str">
        <f t="shared" si="0"/>
        <v>pedra-cortante.png</v>
      </c>
      <c r="D23" t="str">
        <f t="shared" si="1"/>
        <v>"img/pedra-cortante.png"</v>
      </c>
      <c r="E23" t="s">
        <v>40</v>
      </c>
      <c r="F23" t="str">
        <f>CONCATENATE($F$1,E23,$H$1,E23,$J$1,E23,$L$1,K23,$N$1,L23,$P$1,E23,$R$1,E23,$T$1)</f>
        <v>al_draw_scaled_bitmap(pedracortante,0,0,al_get_bitmap_width(pedracortante),al_get_bitmap_height(pedracortante),245,455,p*al_get_bitmap_width(pedracortante),p*al_get_bitmap_height(pedracortante),0);</v>
      </c>
      <c r="K23">
        <v>245</v>
      </c>
      <c r="L23">
        <v>455</v>
      </c>
      <c r="M23" t="s">
        <v>122</v>
      </c>
    </row>
    <row r="24" spans="1:15">
      <c r="A24" t="s">
        <v>0</v>
      </c>
      <c r="B24" t="s">
        <v>20</v>
      </c>
      <c r="C24" t="str">
        <f t="shared" si="0"/>
        <v>peixe.png</v>
      </c>
      <c r="D24" t="str">
        <f t="shared" si="1"/>
        <v>"img/peixe.png"</v>
      </c>
      <c r="E24" t="s">
        <v>20</v>
      </c>
      <c r="F24" t="str">
        <f>CONCATENATE($F$1,E24,$H$1,E24,$J$1,E24,$L$1,K24,$N$1,L24,$P$1,E24,$R$1,E24,$T$1)</f>
        <v>al_draw_scaled_bitmap(peixe,0,0,al_get_bitmap_width(peixe),al_get_bitmap_height(peixe),875,355,p*al_get_bitmap_width(peixe),p*al_get_bitmap_height(peixe),0);</v>
      </c>
      <c r="K24">
        <v>875</v>
      </c>
      <c r="L24">
        <v>355</v>
      </c>
    </row>
    <row r="26" spans="1:15">
      <c r="A26" t="str">
        <f>CONCATENATE(E2,"= al_load_bitmap(",D2,");")</f>
        <v>arvore01= al_load_bitmap("img/arvore-01.png");</v>
      </c>
      <c r="B26" t="str">
        <f>CONCATENATE("erro_imagem(",E2,",",D2,",janela",");")</f>
        <v>erro_imagem(arvore01,"img/arvore-01.png",janela);</v>
      </c>
      <c r="D26" t="s">
        <v>94</v>
      </c>
      <c r="E26" t="s">
        <v>95</v>
      </c>
    </row>
    <row r="27" spans="1:15">
      <c r="A27" t="str">
        <f t="shared" ref="A27:A48" si="2">CONCATENATE(E3,"= al_load_bitmap(",D3,");")</f>
        <v>arvore02= al_load_bitmap("img/arvore-02.png");</v>
      </c>
      <c r="B27" t="str">
        <f t="shared" ref="B27:B48" si="3">CONCATENATE("erro_imagem(",E3,",",D3,",janela",");")</f>
        <v>erro_imagem(arvore02,"img/arvore-02.png",janela);</v>
      </c>
      <c r="F27" t="s">
        <v>99</v>
      </c>
    </row>
    <row r="28" spans="1:15">
      <c r="A28" t="str">
        <f t="shared" si="2"/>
        <v>arvoretombada= al_load_bitmap("img/arvore-tombada.png");</v>
      </c>
      <c r="B28" t="str">
        <f t="shared" si="3"/>
        <v>erro_imagem(arvoretombada,"img/arvore-tombada.png",janela);</v>
      </c>
      <c r="F28" t="s">
        <v>100</v>
      </c>
    </row>
    <row r="29" spans="1:15">
      <c r="A29" t="str">
        <f t="shared" si="2"/>
        <v>coqueiro01= al_load_bitmap("img/coqueiro-01.png");</v>
      </c>
      <c r="B29" t="str">
        <f t="shared" si="3"/>
        <v>erro_imagem(coqueiro01,"img/coqueiro-01.png",janela);</v>
      </c>
      <c r="F29" t="s">
        <v>101</v>
      </c>
    </row>
    <row r="30" spans="1:15">
      <c r="A30" t="str">
        <f t="shared" si="2"/>
        <v>coqueiro02= al_load_bitmap("img/coqueiro-02.png");</v>
      </c>
      <c r="B30" t="str">
        <f t="shared" si="3"/>
        <v>erro_imagem(coqueiro02,"img/coqueiro-02.png",janela);</v>
      </c>
      <c r="F30" t="s">
        <v>102</v>
      </c>
    </row>
    <row r="31" spans="1:15">
      <c r="A31" t="str">
        <f t="shared" si="2"/>
        <v>coqueiro03= al_load_bitmap("img/coqueiro-03.png");</v>
      </c>
      <c r="B31" t="str">
        <f t="shared" si="3"/>
        <v>erro_imagem(coqueiro03,"img/coqueiro-03.png",janela);</v>
      </c>
      <c r="F31" t="s">
        <v>103</v>
      </c>
    </row>
    <row r="32" spans="1:15">
      <c r="A32" t="str">
        <f t="shared" si="2"/>
        <v>coqueiro04= al_load_bitmap("img/coqueiro-04.png");</v>
      </c>
      <c r="B32" t="str">
        <f t="shared" si="3"/>
        <v>erro_imagem(coqueiro04,"img/coqueiro-04.png",janela);</v>
      </c>
      <c r="F32" t="s">
        <v>104</v>
      </c>
    </row>
    <row r="33" spans="1:6">
      <c r="A33" t="str">
        <f t="shared" si="2"/>
        <v>coqueiro05= al_load_bitmap("img/coqueiro-05.png");</v>
      </c>
      <c r="B33" t="str">
        <f t="shared" si="3"/>
        <v>erro_imagem(coqueiro05,"img/coqueiro-05.png",janela);</v>
      </c>
      <c r="F33" t="s">
        <v>105</v>
      </c>
    </row>
    <row r="34" spans="1:6">
      <c r="A34" t="str">
        <f t="shared" si="2"/>
        <v>coqueiro06= al_load_bitmap("img/coqueiro-06.png");</v>
      </c>
      <c r="B34" t="str">
        <f t="shared" si="3"/>
        <v>erro_imagem(coqueiro06,"img/coqueiro-06.png",janela);</v>
      </c>
      <c r="F34" t="s">
        <v>106</v>
      </c>
    </row>
    <row r="35" spans="1:6">
      <c r="A35" t="str">
        <f t="shared" si="2"/>
        <v>coqueiro07= al_load_bitmap("img/coqueiro-07.png");</v>
      </c>
      <c r="B35" t="str">
        <f t="shared" si="3"/>
        <v>erro_imagem(coqueiro07,"img/coqueiro-07.png",janela);</v>
      </c>
      <c r="F35" t="s">
        <v>107</v>
      </c>
    </row>
    <row r="36" spans="1:6">
      <c r="A36" t="str">
        <f t="shared" si="2"/>
        <v>coqueiro08= al_load_bitmap("img/coqueiro-08.png");</v>
      </c>
      <c r="B36" t="str">
        <f t="shared" si="3"/>
        <v>erro_imagem(coqueiro08,"img/coqueiro-08.png",janela);</v>
      </c>
      <c r="F36" t="s">
        <v>108</v>
      </c>
    </row>
    <row r="37" spans="1:6">
      <c r="A37" t="str">
        <f t="shared" si="2"/>
        <v>espinha= al_load_bitmap("img/espinha.png");</v>
      </c>
      <c r="B37" t="str">
        <f t="shared" si="3"/>
        <v>erro_imagem(espinha,"img/espinha.png",janela);</v>
      </c>
      <c r="F37" t="s">
        <v>109</v>
      </c>
    </row>
    <row r="38" spans="1:6">
      <c r="A38" t="str">
        <f t="shared" si="2"/>
        <v>fogueira= al_load_bitmap("img/fogueira.png");</v>
      </c>
      <c r="B38" t="str">
        <f t="shared" si="3"/>
        <v>erro_imagem(fogueira,"img/fogueira.png",janela);</v>
      </c>
      <c r="F38" t="s">
        <v>110</v>
      </c>
    </row>
    <row r="39" spans="1:6">
      <c r="A39" t="str">
        <f t="shared" si="2"/>
        <v>fogueiraapagada= al_load_bitmap("img/fogueira-apagada.png");</v>
      </c>
      <c r="B39" t="str">
        <f t="shared" si="3"/>
        <v>erro_imagem(fogueiraapagada,"img/fogueira-apagada.png",janela);</v>
      </c>
      <c r="F39" t="s">
        <v>111</v>
      </c>
    </row>
    <row r="40" spans="1:6">
      <c r="A40" t="str">
        <f t="shared" si="2"/>
        <v>galhocomum= al_load_bitmap("img/galho-comum.png");</v>
      </c>
      <c r="B40" t="str">
        <f t="shared" si="3"/>
        <v>erro_imagem(galhocomum,"img/galho-comum.png",janela);</v>
      </c>
      <c r="F40" t="s">
        <v>112</v>
      </c>
    </row>
    <row r="41" spans="1:6">
      <c r="A41" t="str">
        <f t="shared" si="2"/>
        <v>galhofino= al_load_bitmap("img/galho-fino.png");</v>
      </c>
      <c r="B41" t="str">
        <f t="shared" si="3"/>
        <v>erro_imagem(galhofino,"img/galho-fino.png",janela);</v>
      </c>
      <c r="F41" t="s">
        <v>113</v>
      </c>
    </row>
    <row r="42" spans="1:6">
      <c r="A42" t="str">
        <f t="shared" si="2"/>
        <v>galhorigido= al_load_bitmap("img/galho-rigido.png");</v>
      </c>
      <c r="B42" t="str">
        <f t="shared" si="3"/>
        <v>erro_imagem(galhorigido,"img/galho-rigido.png",janela);</v>
      </c>
      <c r="F42" t="s">
        <v>114</v>
      </c>
    </row>
    <row r="43" spans="1:6">
      <c r="A43" t="str">
        <f t="shared" si="2"/>
        <v>galhoseco= al_load_bitmap("img/galho-seco.png");</v>
      </c>
      <c r="B43" t="str">
        <f t="shared" si="3"/>
        <v>erro_imagem(galhoseco,"img/galho-seco.png",janela);</v>
      </c>
      <c r="F43" t="s">
        <v>115</v>
      </c>
    </row>
    <row r="44" spans="1:6">
      <c r="A44" t="str">
        <f t="shared" si="2"/>
        <v>lanca= al_load_bitmap("img/lanca.png");</v>
      </c>
      <c r="B44" t="str">
        <f t="shared" si="3"/>
        <v>erro_imagem(lanca,"img/lanca.png",janela);</v>
      </c>
      <c r="F44" t="s">
        <v>116</v>
      </c>
    </row>
    <row r="45" spans="1:6">
      <c r="A45" t="str">
        <f t="shared" si="2"/>
        <v>machado= al_load_bitmap("img/machado.png");</v>
      </c>
      <c r="B45" t="str">
        <f t="shared" si="3"/>
        <v>erro_imagem(machado,"img/machado.png",janela);</v>
      </c>
      <c r="F45" t="s">
        <v>117</v>
      </c>
    </row>
    <row r="46" spans="1:6">
      <c r="A46" t="str">
        <f t="shared" si="2"/>
        <v>mapa= al_load_bitmap("img/mapa.png");</v>
      </c>
      <c r="B46" t="str">
        <f t="shared" si="3"/>
        <v>erro_imagem(mapa,"img/mapa.png",janela);</v>
      </c>
      <c r="F46" t="s">
        <v>118</v>
      </c>
    </row>
    <row r="47" spans="1:6">
      <c r="A47" t="str">
        <f t="shared" si="2"/>
        <v>pedracortante= al_load_bitmap("img/pedra-cortante.png");</v>
      </c>
      <c r="B47" t="str">
        <f t="shared" si="3"/>
        <v>erro_imagem(pedracortante,"img/pedra-cortante.png",janela);</v>
      </c>
      <c r="F47" t="s">
        <v>119</v>
      </c>
    </row>
    <row r="48" spans="1:6">
      <c r="A48" t="str">
        <f t="shared" si="2"/>
        <v>peixe= al_load_bitmap("img/peixe.png");</v>
      </c>
      <c r="B48" t="str">
        <f t="shared" si="3"/>
        <v>erro_imagem(peixe,"img/peixe.png",janela);</v>
      </c>
      <c r="F48" t="s">
        <v>120</v>
      </c>
    </row>
    <row r="49" spans="1:6">
      <c r="F49" t="s">
        <v>121</v>
      </c>
    </row>
    <row r="55" spans="1:6">
      <c r="A55" t="s">
        <v>48</v>
      </c>
    </row>
    <row r="56" spans="1:6">
      <c r="A56" t="s">
        <v>49</v>
      </c>
    </row>
    <row r="58" spans="1:6">
      <c r="A58" t="s">
        <v>50</v>
      </c>
    </row>
    <row r="59" spans="1:6">
      <c r="A59" t="s">
        <v>51</v>
      </c>
    </row>
    <row r="61" spans="1:6">
      <c r="A61" t="s">
        <v>52</v>
      </c>
    </row>
    <row r="62" spans="1:6">
      <c r="A62" t="s">
        <v>53</v>
      </c>
    </row>
    <row r="64" spans="1:6">
      <c r="A64" t="s">
        <v>54</v>
      </c>
    </row>
    <row r="65" spans="1:1">
      <c r="A65" t="s">
        <v>55</v>
      </c>
    </row>
    <row r="67" spans="1:1">
      <c r="A67" t="s">
        <v>56</v>
      </c>
    </row>
    <row r="68" spans="1:1">
      <c r="A68" t="s">
        <v>57</v>
      </c>
    </row>
    <row r="70" spans="1:1">
      <c r="A70" t="s">
        <v>58</v>
      </c>
    </row>
    <row r="71" spans="1:1">
      <c r="A71" t="s">
        <v>59</v>
      </c>
    </row>
    <row r="73" spans="1:1">
      <c r="A73" t="s">
        <v>60</v>
      </c>
    </row>
    <row r="74" spans="1:1">
      <c r="A74" t="s">
        <v>61</v>
      </c>
    </row>
    <row r="76" spans="1:1">
      <c r="A76" t="s">
        <v>62</v>
      </c>
    </row>
    <row r="77" spans="1:1">
      <c r="A77" t="s">
        <v>63</v>
      </c>
    </row>
    <row r="79" spans="1:1">
      <c r="A79" t="s">
        <v>64</v>
      </c>
    </row>
    <row r="80" spans="1:1">
      <c r="A80" t="s">
        <v>65</v>
      </c>
    </row>
    <row r="82" spans="1:1">
      <c r="A82" t="s">
        <v>66</v>
      </c>
    </row>
    <row r="83" spans="1:1">
      <c r="A83" t="s">
        <v>67</v>
      </c>
    </row>
    <row r="85" spans="1:1">
      <c r="A85" t="s">
        <v>68</v>
      </c>
    </row>
    <row r="86" spans="1:1">
      <c r="A86" t="s">
        <v>69</v>
      </c>
    </row>
    <row r="88" spans="1:1">
      <c r="A88" t="s">
        <v>70</v>
      </c>
    </row>
    <row r="89" spans="1:1">
      <c r="A89" t="s">
        <v>71</v>
      </c>
    </row>
    <row r="91" spans="1:1">
      <c r="A91" t="s">
        <v>72</v>
      </c>
    </row>
    <row r="92" spans="1:1">
      <c r="A92" t="s">
        <v>73</v>
      </c>
    </row>
    <row r="94" spans="1:1">
      <c r="A94" t="s">
        <v>74</v>
      </c>
    </row>
    <row r="95" spans="1:1">
      <c r="A95" t="s">
        <v>75</v>
      </c>
    </row>
    <row r="97" spans="1:1">
      <c r="A97" t="s">
        <v>76</v>
      </c>
    </row>
    <row r="98" spans="1:1">
      <c r="A98" t="s">
        <v>77</v>
      </c>
    </row>
    <row r="100" spans="1:1">
      <c r="A100" t="s">
        <v>78</v>
      </c>
    </row>
    <row r="101" spans="1:1">
      <c r="A101" t="s">
        <v>79</v>
      </c>
    </row>
    <row r="103" spans="1:1">
      <c r="A103" t="s">
        <v>80</v>
      </c>
    </row>
    <row r="104" spans="1:1">
      <c r="A104" t="s">
        <v>81</v>
      </c>
    </row>
    <row r="106" spans="1:1">
      <c r="A106" t="s">
        <v>82</v>
      </c>
    </row>
    <row r="107" spans="1:1">
      <c r="A107" t="s">
        <v>83</v>
      </c>
    </row>
    <row r="109" spans="1:1">
      <c r="A109" t="s">
        <v>84</v>
      </c>
    </row>
    <row r="110" spans="1:1">
      <c r="A110" t="s">
        <v>85</v>
      </c>
    </row>
    <row r="112" spans="1:1">
      <c r="A112" t="s">
        <v>86</v>
      </c>
    </row>
    <row r="113" spans="1:1">
      <c r="A113" t="s">
        <v>87</v>
      </c>
    </row>
    <row r="115" spans="1:1">
      <c r="A115" t="s">
        <v>88</v>
      </c>
    </row>
    <row r="116" spans="1:1">
      <c r="A116" t="s">
        <v>89</v>
      </c>
    </row>
    <row r="118" spans="1:1">
      <c r="A118" t="s">
        <v>90</v>
      </c>
    </row>
    <row r="119" spans="1:1">
      <c r="A119" t="s">
        <v>91</v>
      </c>
    </row>
    <row r="121" spans="1:1">
      <c r="A121" t="s">
        <v>92</v>
      </c>
    </row>
    <row r="122" spans="1:1">
      <c r="A122" t="s">
        <v>93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Fatec SJC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2015-05-21T11:16:29Z</dcterms:created>
  <dcterms:modified xsi:type="dcterms:W3CDTF">2015-05-22T13:46:49Z</dcterms:modified>
</cp:coreProperties>
</file>